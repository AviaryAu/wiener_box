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e6bb1e9e141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ecast" sheetId="1" r:id="R800c9854e2e548fa"/>
    <x:sheet xmlns:r="http://schemas.openxmlformats.org/officeDocument/2006/relationships" name="Order economics" sheetId="2" r:id="R37be9530a2f14c53"/>
    <x:sheet xmlns:r="http://schemas.openxmlformats.org/officeDocument/2006/relationships" name="Launch budget" sheetId="3" r:id="R31803ea7b72e4e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&quot;$&quot;#,##0.00;(&quot;$&quot;#,##0.00);&quot;–&quot;"/>
    <x:numFmt numFmtId="201" formatCode="0.0%"/>
    <x:numFmt numFmtId="202" formatCode="0.00%"/>
    <x:numFmt numFmtId="203" formatCode="0.0"/>
    <x:numFmt numFmtId="204" formatCode="&quot;$&quot;#,##0;(&quot;$&quot;#,##0);&quot;–&quot;"/>
    <x:numFmt numFmtId="205" formatCode="#,##0.0;(#,##0.0);&quot;–&quot;"/>
  </x:numFmts>
  <x:fonts count="7">
    <x:font>
      <x:sz val="11"/>
      <x:name val="Carlito"/>
    </x:font>
    <x:font>
      <x:sz val="11"/>
      <x:color rgb="FF181714"/>
      <x:name val="Arial"/>
    </x:font>
    <x:font>
      <x:b/>
      <x:sz val="16"/>
      <x:color rgb="FF181714"/>
      <x:name val="Arial"/>
    </x:font>
    <x:font>
      <x:b/>
      <x:sz val="11"/>
      <x:color rgb="FFFFFFFF"/>
      <x:name val="Arial"/>
    </x:font>
    <x:font>
      <x:sz val="11"/>
      <x:color rgb="FF1456AA"/>
      <x:name val="Arial"/>
    </x:font>
    <x:font>
      <x:b/>
      <x:sz val="11"/>
      <x:color rgb="FF181714"/>
      <x:name val="Arial"/>
    </x:font>
    <x:font>
      <x:sz val="11"/>
      <x:color rgb="FF23753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1714"/>
      </x:patternFill>
    </x:fill>
    <x:fill>
      <x:patternFill patternType="solid">
        <x:fgColor rgb="FFFFF5D2"/>
      </x:patternFill>
    </x:fill>
    <x:fill>
      <x:patternFill patternType="solid">
        <x:fgColor rgb="FFFFF0AF"/>
      </x:patternFill>
    </x:fill>
  </x:fills>
  <x:borders count="2">
    <x:border/>
    <x:border>
      <x:top style="thin">
        <x:color rgb="FFAAA28C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1" fontId="4" fillId="3" borderId="0" xfId="0" applyNumberFormat="1" applyFont="1" applyFill="1" applyBorder="1"/>
    <x:xf numFmtId="202" fontId="4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201" fontId="5" fillId="4" borderId="0" xfId="0" applyNumberFormat="1" applyFont="1" applyFill="1" applyBorder="1"/>
    <x:xf numFmtId="0" fontId="5" fillId="4" borderId="1" xfId="0" applyNumberFormat="1" applyFont="1" applyFill="1" applyBorder="1"/>
    <x:xf numFmtId="200" fontId="5" fillId="4" borderId="1" xfId="0" applyNumberFormat="1" applyFont="1" applyFill="1" applyBorder="1"/>
    <x:xf numFmtId="204" fontId="4" fillId="3" borderId="0" xfId="0" applyNumberFormat="1" applyFont="1" applyFill="1" applyBorder="1"/>
    <x:xf numFmtId="0" fontId="6" fillId="0" borderId="0" xfId="0" applyNumberFormat="1" applyFont="1" applyFill="1" applyBorder="1"/>
    <x:xf numFmtId="204" fontId="5" fillId="4" borderId="1" xfId="0" applyNumberFormat="1" applyFont="1" applyFill="1" applyBorder="1"/>
    <x:xf numFmtId="204" fontId="1" fillId="0" borderId="0" xfId="0" applyNumberFormat="1" applyFont="1" applyFill="1" applyBorder="1"/>
    <x:xf numFmtId="204" fontId="6" fillId="0" borderId="0" xfId="0" applyNumberFormat="1" applyFont="1" applyFill="1" applyBorder="1"/>
    <x:xf numFmtId="204" fontId="2" fillId="0" borderId="0" xfId="0" applyNumberFormat="1" applyFont="1" applyFill="1" applyBorder="1"/>
    <x:xf numFmtId="205" fontId="4" fillId="3" borderId="0" xfId="0" applyNumberFormat="1" applyFont="1" applyFill="1" applyBorder="1"/>
    <x:xf numFmtId="205" fontId="1" fillId="0" borderId="0" xfId="0" applyNumberFormat="1" applyFont="1" applyFill="1" applyBorder="1"/>
    <x:xf numFmtId="205" fontId="1" fillId="4" borderId="0" xfId="0" applyNumberFormat="1" applyFont="1" applyFill="1" applyBorder="1"/>
    <x:xf numFmtId="205" fontId="5" fillId="4" borderId="0" xfId="0" applyNumberFormat="1" applyFont="1" applyFill="1" applyBorder="1"/>
    <x:xf numFmtId="205" fontId="5" fillId="4" borderId="1" xfId="0" applyNumberFormat="1" applyFont="1" applyFill="1" applyBorder="1"/>
    <x:xf numFmtId="204" fontId="1" fillId="4" borderId="0" xfId="0" applyNumberFormat="1" applyFont="1" applyFill="1" applyBorder="1"/>
    <x:xf numFmtId="204" fontId="5" fillId="4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A32418"/>
      </x:font>
      <x:fill>
        <x:patternFill>
          <x:bgColor rgb="FFFFE1D8"/>
        </x:patternFill>
      </x:fill>
    </x:dxf>
    <x:dxf>
      <x:font>
        <x:b/>
        <x:color rgb="FFA32418"/>
      </x:font>
      <x:fill>
        <x:patternFill patternType="solid">
          <x:bgColor rgb="FFFFE1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20a1461daa4794" /><Relationship Type="http://schemas.openxmlformats.org/officeDocument/2006/relationships/theme" Target="/xl/theme/theme1.xml" Id="R27a298104f564f81" /><Relationship Type="http://schemas.openxmlformats.org/officeDocument/2006/relationships/sharedStrings" Target="/xl/sharedStrings.xml" Id="R088d45c9e4cc4f31" /><Relationship Type="http://schemas.openxmlformats.org/officeDocument/2006/relationships/worksheet" Target="/xl/worksheets/sheet1.xml" Id="R800c9854e2e548fa" /><Relationship Type="http://schemas.openxmlformats.org/officeDocument/2006/relationships/worksheet" Target="/xl/worksheets/sheet2.xml" Id="R37be9530a2f14c53" /><Relationship Type="http://schemas.openxmlformats.org/officeDocument/2006/relationships/worksheet" Target="/xl/worksheets/sheet3.xml" Id="R31803ea7b72e4e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1714"/>
  </x:sheetPr>
  <x:sheetViews>
    <x:sheetView showGridLines="0" workbookViewId="0">
      <x:pane xSplit="3" ySplit="10" topLeftCell="D11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1"/>
      <x:c r="B2" s="1"/>
      <x:c r="C2" s="2" t="str">
        <x:v>Wiener Box financial plan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1"/>
    </x:row>
    <x:row r="3" ht="23" customHeight="1">
      <x:c r="A3" s="1"/>
      <x:c r="B3" s="1"/>
      <x:c r="C3" s="1" t="str">
        <x:v>Illustrative first 12 trading months. AUD. No sales history or supplier quotes.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A5" s="1"/>
      <x:c r="B5" s="1"/>
      <x:c r="C5" s="1" t="str">
        <x:v>Annual net revenue</x:v>
      </x:c>
      <x:c r="D5" s="26" t="n">
        <x:f>SUM(D29:O29)</x:f>
        <x:v>230630.32964163227</x:v>
      </x:c>
      <x:c r="E5" s="1"/>
      <x:c r="F5" s="1"/>
      <x:c r="G5" s="1" t="str">
        <x:v>After owner pay</x:v>
      </x:c>
      <x:c r="H5" s="1"/>
      <x:c r="I5" s="26" t="n">
        <x:f>SUM(D34:O34)</x:f>
        <x:v>-6659.805098029627</x:v>
      </x:c>
      <x:c r="J5" s="1"/>
      <x:c r="K5" s="1"/>
      <x:c r="L5" s="1" t="str">
        <x:v>Lowest headroom</x:v>
      </x:c>
      <x:c r="M5" s="1"/>
      <x:c r="N5" s="1"/>
      <x:c r="O5" s="26" t="n">
        <x:f>MIN(D37:O37)</x:f>
        <x:v>-4003.477412085246</x:v>
      </x:c>
      <x:c r="P5" s="1"/>
    </x:row>
    <x:row r="6" ht="23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23" customHeight="1">
      <x:c r="A7" s="1"/>
      <x:c r="B7" s="1"/>
      <x:c r="C7" s="1" t="str">
        <x:v>Founder-built model. Change yellow inputs; review margin, acquisition cost and funding together.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29" customHeight="1">
      <x:c r="A10" s="1"/>
      <x:c r="B10" s="1"/>
      <x:c r="C10" s="4" t="str">
        <x:v>Monthly operating plan</x:v>
      </x:c>
      <x:c r="D10" s="4" t="str">
        <x:v>Month 1</x:v>
      </x:c>
      <x:c r="E10" s="4" t="str">
        <x:v>Month 2</x:v>
      </x:c>
      <x:c r="F10" s="4" t="str">
        <x:v>Month 3</x:v>
      </x:c>
      <x:c r="G10" s="4" t="str">
        <x:v>Month 4</x:v>
      </x:c>
      <x:c r="H10" s="4" t="str">
        <x:v>Month 5</x:v>
      </x:c>
      <x:c r="I10" s="4" t="str">
        <x:v>Month 6</x:v>
      </x:c>
      <x:c r="J10" s="4" t="str">
        <x:v>Month 7</x:v>
      </x:c>
      <x:c r="K10" s="4" t="str">
        <x:v>Month 8</x:v>
      </x:c>
      <x:c r="L10" s="4" t="str">
        <x:v>Month 9</x:v>
      </x:c>
      <x:c r="M10" s="4" t="str">
        <x:v>Month 10</x:v>
      </x:c>
      <x:c r="N10" s="4" t="str">
        <x:v>Month 11</x:v>
      </x:c>
      <x:c r="O10" s="4" t="str">
        <x:v>Month 12</x:v>
      </x:c>
      <x:c r="P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23" customHeight="1">
      <x:c r="A12" s="1"/>
      <x:c r="B12" s="1"/>
      <x:c r="C12" s="1" t="str">
        <x:v>New subscribers</x:v>
      </x:c>
      <x:c r="D12" s="27" t="n">
        <x:v>10</x:v>
      </x:c>
      <x:c r="E12" s="27" t="n">
        <x:v>15</x:v>
      </x:c>
      <x:c r="F12" s="27" t="n">
        <x:v>20</x:v>
      </x:c>
      <x:c r="G12" s="27" t="n">
        <x:v>25</x:v>
      </x:c>
      <x:c r="H12" s="27" t="n">
        <x:v>30</x:v>
      </x:c>
      <x:c r="I12" s="27" t="n">
        <x:v>35</x:v>
      </x:c>
      <x:c r="J12" s="27" t="n">
        <x:v>40</x:v>
      </x:c>
      <x:c r="K12" s="27" t="n">
        <x:v>45</x:v>
      </x:c>
      <x:c r="L12" s="27" t="n">
        <x:v>50</x:v>
      </x:c>
      <x:c r="M12" s="27" t="n">
        <x:v>55</x:v>
      </x:c>
      <x:c r="N12" s="27" t="n">
        <x:v>60</x:v>
      </x:c>
      <x:c r="O12" s="27" t="n">
        <x:v>65</x:v>
      </x:c>
      <x:c r="P12" s="1"/>
    </x:row>
    <x:row r="13" ht="23" customHeight="1">
      <x:c r="A13" s="1"/>
      <x:c r="B13" s="1"/>
      <x:c r="C13" s="1" t="str">
        <x:v>New one-time customers</x:v>
      </x:c>
      <x:c r="D13" s="27" t="n">
        <x:v>20</x:v>
      </x:c>
      <x:c r="E13" s="27" t="n">
        <x:v>25</x:v>
      </x:c>
      <x:c r="F13" s="27" t="n">
        <x:v>30</x:v>
      </x:c>
      <x:c r="G13" s="27" t="n">
        <x:v>35</x:v>
      </x:c>
      <x:c r="H13" s="27" t="n">
        <x:v>40</x:v>
      </x:c>
      <x:c r="I13" s="27" t="n">
        <x:v>45</x:v>
      </x:c>
      <x:c r="J13" s="27" t="n">
        <x:v>50</x:v>
      </x:c>
      <x:c r="K13" s="27" t="n">
        <x:v>60</x:v>
      </x:c>
      <x:c r="L13" s="27" t="n">
        <x:v>70</x:v>
      </x:c>
      <x:c r="M13" s="27" t="n">
        <x:v>80</x:v>
      </x:c>
      <x:c r="N13" s="27" t="n">
        <x:v>90</x:v>
      </x:c>
      <x:c r="O13" s="27" t="n">
        <x:v>100</x:v>
      </x:c>
      <x:c r="P13" s="1"/>
    </x:row>
    <x:row r="14" ht="23" customHeight="1">
      <x:c r="A14" s="1"/>
      <x:c r="B14" s="1"/>
      <x:c r="C14" s="1" t="str">
        <x:v>Returning one-time orders</x:v>
      </x:c>
      <x:c r="D14" s="27" t="n">
        <x:v>0</x:v>
      </x:c>
      <x:c r="E14" s="27" t="n">
        <x:v>3</x:v>
      </x:c>
      <x:c r="F14" s="27" t="n">
        <x:v>6</x:v>
      </x:c>
      <x:c r="G14" s="27" t="n">
        <x:v>10</x:v>
      </x:c>
      <x:c r="H14" s="27" t="n">
        <x:v>15</x:v>
      </x:c>
      <x:c r="I14" s="27" t="n">
        <x:v>20</x:v>
      </x:c>
      <x:c r="J14" s="27" t="n">
        <x:v>25</x:v>
      </x:c>
      <x:c r="K14" s="27" t="n">
        <x:v>30</x:v>
      </x:c>
      <x:c r="L14" s="27" t="n">
        <x:v>35</x:v>
      </x:c>
      <x:c r="M14" s="27" t="n">
        <x:v>40</x:v>
      </x:c>
      <x:c r="N14" s="27" t="n">
        <x:v>45</x:v>
      </x:c>
      <x:c r="O14" s="27" t="n">
        <x:v>50</x:v>
      </x:c>
      <x:c r="P14" s="1"/>
    </x:row>
    <x:row r="15" ht="23" customHeight="1">
      <x:c r="A15" s="1"/>
      <x:c r="B15" s="1"/>
      <x:c r="C15" s="1" t="str">
        <x:v>Gift share of one-time orders</x:v>
      </x:c>
      <x:c r="D15" s="8" t="n">
        <x:v>0.35</x:v>
      </x:c>
      <x:c r="E15" s="8" t="n">
        <x:v>0.35</x:v>
      </x:c>
      <x:c r="F15" s="8" t="n">
        <x:v>0.35</x:v>
      </x:c>
      <x:c r="G15" s="8" t="n">
        <x:v>0.35</x:v>
      </x:c>
      <x:c r="H15" s="8" t="n">
        <x:v>0.35</x:v>
      </x:c>
      <x:c r="I15" s="8" t="n">
        <x:v>0.35</x:v>
      </x:c>
      <x:c r="J15" s="8" t="n">
        <x:v>0.35</x:v>
      </x:c>
      <x:c r="K15" s="8" t="n">
        <x:v>0.35</x:v>
      </x:c>
      <x:c r="L15" s="8" t="n">
        <x:v>0.35</x:v>
      </x:c>
      <x:c r="M15" s="8" t="n">
        <x:v>0.35</x:v>
      </x:c>
      <x:c r="N15" s="8" t="n">
        <x:v>0.35</x:v>
      </x:c>
      <x:c r="O15" s="8" t="n">
        <x:v>0.35</x:v>
      </x:c>
      <x:c r="P15" s="1"/>
    </x:row>
    <x:row r="16" ht="23" customHeight="1">
      <x:c r="A16" s="1"/>
      <x:c r="B16" s="1"/>
      <x:c r="C16" s="1" t="str">
        <x:v>Monthly subscriber churn</x:v>
      </x:c>
      <x:c r="D16" s="8" t="n">
        <x:v>0.08</x:v>
      </x:c>
      <x:c r="E16" s="8" t="n">
        <x:v>0.08</x:v>
      </x:c>
      <x:c r="F16" s="8" t="n">
        <x:v>0.08</x:v>
      </x:c>
      <x:c r="G16" s="8" t="n">
        <x:v>0.08</x:v>
      </x:c>
      <x:c r="H16" s="8" t="n">
        <x:v>0.08</x:v>
      </x:c>
      <x:c r="I16" s="8" t="n">
        <x:v>0.08</x:v>
      </x:c>
      <x:c r="J16" s="8" t="n">
        <x:v>0.08</x:v>
      </x:c>
      <x:c r="K16" s="8" t="n">
        <x:v>0.08</x:v>
      </x:c>
      <x:c r="L16" s="8" t="n">
        <x:v>0.08</x:v>
      </x:c>
      <x:c r="M16" s="8" t="n">
        <x:v>0.08</x:v>
      </x:c>
      <x:c r="N16" s="8" t="n">
        <x:v>0.08</x:v>
      </x:c>
      <x:c r="O16" s="8" t="n">
        <x:v>0.08</x:v>
      </x:c>
      <x:c r="P16" s="1"/>
    </x:row>
    <x:row r="17" ht="23" customHeight="1">
      <x:c r="A17" s="1"/>
      <x:c r="B17" s="1"/>
      <x:c r="C17" s="1" t="str">
        <x:v>Renewal skip rate</x:v>
      </x:c>
      <x:c r="D17" s="8" t="n">
        <x:v>0.1</x:v>
      </x:c>
      <x:c r="E17" s="8" t="n">
        <x:v>0.1</x:v>
      </x:c>
      <x:c r="F17" s="8" t="n">
        <x:v>0.1</x:v>
      </x:c>
      <x:c r="G17" s="8" t="n">
        <x:v>0.1</x:v>
      </x:c>
      <x:c r="H17" s="8" t="n">
        <x:v>0.1</x:v>
      </x:c>
      <x:c r="I17" s="8" t="n">
        <x:v>0.1</x:v>
      </x:c>
      <x:c r="J17" s="8" t="n">
        <x:v>0.1</x:v>
      </x:c>
      <x:c r="K17" s="8" t="n">
        <x:v>0.1</x:v>
      </x:c>
      <x:c r="L17" s="8" t="n">
        <x:v>0.1</x:v>
      </x:c>
      <x:c r="M17" s="8" t="n">
        <x:v>0.1</x:v>
      </x:c>
      <x:c r="N17" s="8" t="n">
        <x:v>0.1</x:v>
      </x:c>
      <x:c r="O17" s="8" t="n">
        <x:v>0.1</x:v>
      </x:c>
      <x:c r="P17" s="1"/>
    </x:row>
    <x:row r="18" ht="23" customHeight="1">
      <x:c r="A18" s="1"/>
      <x:c r="B18" s="1"/>
      <x:c r="C18" s="1" t="str">
        <x:v>Blended acquisition cost</x:v>
      </x:c>
      <x:c r="D18" s="21" t="n">
        <x:v>35</x:v>
      </x:c>
      <x:c r="E18" s="21" t="n">
        <x:v>35</x:v>
      </x:c>
      <x:c r="F18" s="21" t="n">
        <x:v>35</x:v>
      </x:c>
      <x:c r="G18" s="21" t="n">
        <x:v>35</x:v>
      </x:c>
      <x:c r="H18" s="21" t="n">
        <x:v>35</x:v>
      </x:c>
      <x:c r="I18" s="21" t="n">
        <x:v>35</x:v>
      </x:c>
      <x:c r="J18" s="21" t="n">
        <x:v>35</x:v>
      </x:c>
      <x:c r="K18" s="21" t="n">
        <x:v>35</x:v>
      </x:c>
      <x:c r="L18" s="21" t="n">
        <x:v>35</x:v>
      </x:c>
      <x:c r="M18" s="21" t="n">
        <x:v>35</x:v>
      </x:c>
      <x:c r="N18" s="21" t="n">
        <x:v>35</x:v>
      </x:c>
      <x:c r="O18" s="21" t="n">
        <x:v>35</x:v>
      </x:c>
      <x:c r="P18" s="1"/>
    </x:row>
    <x:row r="19" ht="23" customHeight="1">
      <x:c r="A19" s="1"/>
      <x:c r="B19" s="1"/>
      <x:c r="C19" s="1" t="str">
        <x:v>Fixed overhead</x:v>
      </x:c>
      <x:c r="D19" s="21" t="n">
        <x:v>1250</x:v>
      </x:c>
      <x:c r="E19" s="21" t="n">
        <x:v>1250</x:v>
      </x:c>
      <x:c r="F19" s="21" t="n">
        <x:v>1250</x:v>
      </x:c>
      <x:c r="G19" s="21" t="n">
        <x:v>1250</x:v>
      </x:c>
      <x:c r="H19" s="21" t="n">
        <x:v>1250</x:v>
      </x:c>
      <x:c r="I19" s="21" t="n">
        <x:v>1250</x:v>
      </x:c>
      <x:c r="J19" s="21" t="n">
        <x:v>1250</x:v>
      </x:c>
      <x:c r="K19" s="21" t="n">
        <x:v>1250</x:v>
      </x:c>
      <x:c r="L19" s="21" t="n">
        <x:v>1250</x:v>
      </x:c>
      <x:c r="M19" s="21" t="n">
        <x:v>1250</x:v>
      </x:c>
      <x:c r="N19" s="21" t="n">
        <x:v>1250</x:v>
      </x:c>
      <x:c r="O19" s="21" t="n">
        <x:v>1250</x:v>
      </x:c>
      <x:c r="P19" s="1"/>
    </x:row>
    <x:row r="20" ht="23" customHeight="1">
      <x:c r="A20" s="1"/>
      <x:c r="B20" s="1"/>
      <x:c r="C20" s="1" t="str">
        <x:v>Owner labour allowance</x:v>
      </x:c>
      <x:c r="D20" s="21" t="n">
        <x:v>0</x:v>
      </x:c>
      <x:c r="E20" s="21" t="n">
        <x:v>0</x:v>
      </x:c>
      <x:c r="F20" s="21" t="n">
        <x:v>0</x:v>
      </x:c>
      <x:c r="G20" s="21" t="n">
        <x:v>2500</x:v>
      </x:c>
      <x:c r="H20" s="21" t="n">
        <x:v>2500</x:v>
      </x:c>
      <x:c r="I20" s="21" t="n">
        <x:v>2500</x:v>
      </x:c>
      <x:c r="J20" s="21" t="n">
        <x:v>2500</x:v>
      </x:c>
      <x:c r="K20" s="21" t="n">
        <x:v>2500</x:v>
      </x:c>
      <x:c r="L20" s="21" t="n">
        <x:v>2500</x:v>
      </x:c>
      <x:c r="M20" s="21" t="n">
        <x:v>2500</x:v>
      </x:c>
      <x:c r="N20" s="21" t="n">
        <x:v>2500</x:v>
      </x:c>
      <x:c r="O20" s="21" t="n">
        <x:v>2500</x:v>
      </x:c>
      <x:c r="P20" s="1"/>
    </x:row>
    <x:row r="21" ht="23" customHeight="1">
      <x:c r="A21" s="1"/>
      <x:c r="B21" s="1"/>
      <x:c r="C21" s="1" t="str">
        <x:v>Opening subscribers</x:v>
      </x:c>
      <x:c r="D21" s="28" t="n">
        <x:f>0</x:f>
        <x:v>0</x:v>
      </x:c>
      <x:c r="E21" s="28" t="n">
        <x:f>D23</x:f>
        <x:v>10</x:v>
      </x:c>
      <x:c r="F21" s="28" t="n">
        <x:f>E23</x:f>
        <x:v>24.2</x:v>
      </x:c>
      <x:c r="G21" s="28" t="n">
        <x:f>F23</x:f>
        <x:v>42.263999999999996</x:v>
      </x:c>
      <x:c r="H21" s="28" t="n">
        <x:f>G23</x:f>
        <x:v>63.88287999999999</x:v>
      </x:c>
      <x:c r="I21" s="28" t="n">
        <x:f>H23</x:f>
        <x:v>88.7722496</x:v>
      </x:c>
      <x:c r="J21" s="28" t="n">
        <x:f>I23</x:f>
        <x:v>116.67046963199999</x:v>
      </x:c>
      <x:c r="K21" s="28" t="n">
        <x:f>J23</x:f>
        <x:v>147.33683206144</x:v>
      </x:c>
      <x:c r="L21" s="28" t="n">
        <x:f>K23</x:f>
        <x:v>180.54988549652478</x:v>
      </x:c>
      <x:c r="M21" s="28" t="n">
        <x:f>L23</x:f>
        <x:v>216.1058946568028</x:v>
      </x:c>
      <x:c r="N21" s="28" t="n">
        <x:f>M23</x:f>
        <x:v>253.81742308425856</x:v>
      </x:c>
      <x:c r="O21" s="28" t="n">
        <x:f>N23</x:f>
        <x:v>293.5120292375179</x:v>
      </x:c>
      <x:c r="P21" s="1"/>
    </x:row>
    <x:row r="22" ht="23" customHeight="1">
      <x:c r="A22" s="1"/>
      <x:c r="B22" s="1"/>
      <x:c r="C22" s="1" t="str">
        <x:v>Subscriber cancellations</x:v>
      </x:c>
      <x:c r="D22" s="28" t="n">
        <x:f>D21*D16</x:f>
        <x:v>0</x:v>
      </x:c>
      <x:c r="E22" s="28" t="n">
        <x:f>E21*E16</x:f>
        <x:v>0.8</x:v>
      </x:c>
      <x:c r="F22" s="28" t="n">
        <x:f>F21*F16</x:f>
        <x:v>1.936</x:v>
      </x:c>
      <x:c r="G22" s="28" t="n">
        <x:f>G21*G16</x:f>
        <x:v>3.3811199999999997</x:v>
      </x:c>
      <x:c r="H22" s="28" t="n">
        <x:f>H21*H16</x:f>
        <x:v>5.1106304</x:v>
      </x:c>
      <x:c r="I22" s="28" t="n">
        <x:f>I21*I16</x:f>
        <x:v>7.101779968</x:v>
      </x:c>
      <x:c r="J22" s="28" t="n">
        <x:f>J21*J16</x:f>
        <x:v>9.333637570559999</x:v>
      </x:c>
      <x:c r="K22" s="28" t="n">
        <x:f>K21*K16</x:f>
        <x:v>11.7869465649152</x:v>
      </x:c>
      <x:c r="L22" s="28" t="n">
        <x:f>L21*L16</x:f>
        <x:v>14.443990839721982</x:v>
      </x:c>
      <x:c r="M22" s="28" t="n">
        <x:f>M21*M16</x:f>
        <x:v>17.288471572544225</x:v>
      </x:c>
      <x:c r="N22" s="28" t="n">
        <x:f>N21*N16</x:f>
        <x:v>20.305393846740685</x:v>
      </x:c>
      <x:c r="O22" s="28" t="n">
        <x:f>O21*O16</x:f>
        <x:v>23.48096233900143</x:v>
      </x:c>
      <x:c r="P22" s="1"/>
    </x:row>
    <x:row r="23" ht="23" customHeight="1">
      <x:c r="A23" s="1"/>
      <x:c r="B23" s="1"/>
      <x:c r="C23" s="19" t="str">
        <x:v>Closing subscribers</x:v>
      </x:c>
      <x:c r="D23" s="31" t="n">
        <x:f>D21-D22+D12</x:f>
        <x:v>10</x:v>
      </x:c>
      <x:c r="E23" s="31" t="n">
        <x:f>E21-E22+E12</x:f>
        <x:v>24.2</x:v>
      </x:c>
      <x:c r="F23" s="31" t="n">
        <x:f>F21-F22+F12</x:f>
        <x:v>42.263999999999996</x:v>
      </x:c>
      <x:c r="G23" s="31" t="n">
        <x:f>G21-G22+G12</x:f>
        <x:v>63.88287999999999</x:v>
      </x:c>
      <x:c r="H23" s="31" t="n">
        <x:f>H21-H22+H12</x:f>
        <x:v>88.7722496</x:v>
      </x:c>
      <x:c r="I23" s="31" t="n">
        <x:f>I21-I22+I12</x:f>
        <x:v>116.67046963199999</x:v>
      </x:c>
      <x:c r="J23" s="31" t="n">
        <x:f>J21-J22+J12</x:f>
        <x:v>147.33683206144</x:v>
      </x:c>
      <x:c r="K23" s="31" t="n">
        <x:f>K21-K22+K12</x:f>
        <x:v>180.54988549652478</x:v>
      </x:c>
      <x:c r="L23" s="31" t="n">
        <x:f>L21-L22+L12</x:f>
        <x:v>216.1058946568028</x:v>
      </x:c>
      <x:c r="M23" s="31" t="n">
        <x:f>M21-M22+M12</x:f>
        <x:v>253.81742308425856</x:v>
      </x:c>
      <x:c r="N23" s="31" t="n">
        <x:f>N21-N22+N12</x:f>
        <x:v>293.5120292375179</x:v>
      </x:c>
      <x:c r="O23" s="31" t="n">
        <x:f>O21-O22+O12</x:f>
        <x:v>335.0310668985164</x:v>
      </x:c>
      <x:c r="P23" s="1"/>
    </x:row>
    <x:row r="24" ht="23" customHeight="1">
      <x:c r="A24" s="1"/>
      <x:c r="B24" s="1"/>
      <x:c r="C24" s="1" t="str">
        <x:v>Subscription deliveries</x:v>
      </x:c>
      <x:c r="D24" s="28" t="n">
        <x:f>(D21-D22)*(1-D17)+D12</x:f>
        <x:v>10</x:v>
      </x:c>
      <x:c r="E24" s="28" t="n">
        <x:f>(E21-E22)*(1-E17)+E12</x:f>
        <x:v>23.28</x:v>
      </x:c>
      <x:c r="F24" s="28" t="n">
        <x:f>(F21-F22)*(1-F17)+F12</x:f>
        <x:v>40.0376</x:v>
      </x:c>
      <x:c r="G24" s="28" t="n">
        <x:f>(G21-G22)*(1-G17)+G12</x:f>
        <x:v>59.994592</x:v>
      </x:c>
      <x:c r="H24" s="28" t="n">
        <x:f>(H21-H22)*(1-H17)+H12</x:f>
        <x:v>82.89502464</x:v>
      </x:c>
      <x:c r="I24" s="28" t="n">
        <x:f>(I21-I22)*(1-I17)+I12</x:f>
        <x:v>108.5034226688</x:v>
      </x:c>
      <x:c r="J24" s="28" t="n">
        <x:f>(J21-J22)*(1-J17)+J12</x:f>
        <x:v>136.603148855296</x:v>
      </x:c>
      <x:c r="K24" s="28" t="n">
        <x:f>(K21-K22)*(1-K17)+K12</x:f>
        <x:v>166.9948969468723</x:v>
      </x:c>
      <x:c r="L24" s="28" t="n">
        <x:f>(L21-L22)*(1-L17)+L12</x:f>
        <x:v>199.49530519112253</x:v>
      </x:c>
      <x:c r="M24" s="28" t="n">
        <x:f>(M21-M22)*(1-M17)+M12</x:f>
        <x:v>233.9356807758327</x:v>
      </x:c>
      <x:c r="N24" s="28" t="n">
        <x:f>(N21-N22)*(1-N17)+N12</x:f>
        <x:v>270.1608263137661</x:v>
      </x:c>
      <x:c r="O24" s="28" t="n">
        <x:f>(O21-O22)*(1-O17)+O12</x:f>
        <x:v>308.0279602086648</x:v>
      </x:c>
      <x:c r="P24" s="1"/>
    </x:row>
    <x:row r="25" ht="23" customHeight="1">
      <x:c r="A25" s="1"/>
      <x:c r="B25" s="1"/>
      <x:c r="C25" s="1" t="str">
        <x:v>Gift deliveries</x:v>
      </x:c>
      <x:c r="D25" s="28" t="n">
        <x:f>SUM(D13:D14)*D15</x:f>
        <x:v>7</x:v>
      </x:c>
      <x:c r="E25" s="28" t="n">
        <x:f>SUM(E13:E14)*E15</x:f>
        <x:v>9.799999999999999</x:v>
      </x:c>
      <x:c r="F25" s="28" t="n">
        <x:f>SUM(F13:F14)*F15</x:f>
        <x:v>12.6</x:v>
      </x:c>
      <x:c r="G25" s="28" t="n">
        <x:f>SUM(G13:G14)*G15</x:f>
        <x:v>15.749999999999998</x:v>
      </x:c>
      <x:c r="H25" s="28" t="n">
        <x:f>SUM(H13:H14)*H15</x:f>
        <x:v>19.25</x:v>
      </x:c>
      <x:c r="I25" s="28" t="n">
        <x:f>SUM(I13:I14)*I15</x:f>
        <x:v>22.75</x:v>
      </x:c>
      <x:c r="J25" s="28" t="n">
        <x:f>SUM(J13:J14)*J15</x:f>
        <x:v>26.25</x:v>
      </x:c>
      <x:c r="K25" s="28" t="n">
        <x:f>SUM(K13:K14)*K15</x:f>
        <x:v>31.499999999999996</x:v>
      </x:c>
      <x:c r="L25" s="28" t="n">
        <x:f>SUM(L13:L14)*L15</x:f>
        <x:v>36.75</x:v>
      </x:c>
      <x:c r="M25" s="28" t="n">
        <x:f>SUM(M13:M14)*M15</x:f>
        <x:v>42</x:v>
      </x:c>
      <x:c r="N25" s="28" t="n">
        <x:f>SUM(N13:N14)*N15</x:f>
        <x:v>47.25</x:v>
      </x:c>
      <x:c r="O25" s="28" t="n">
        <x:f>SUM(O13:O14)*O15</x:f>
        <x:v>52.5</x:v>
      </x:c>
      <x:c r="P25" s="1"/>
    </x:row>
    <x:row r="26" ht="23" customHeight="1">
      <x:c r="A26" s="1"/>
      <x:c r="B26" s="1"/>
      <x:c r="C26" s="1" t="str">
        <x:v>Individual-basket deliveries</x:v>
      </x:c>
      <x:c r="D26" s="28" t="n">
        <x:f>SUM(D13:D14)-D25</x:f>
        <x:v>13</x:v>
      </x:c>
      <x:c r="E26" s="28" t="n">
        <x:f>SUM(E13:E14)-E25</x:f>
        <x:v>18.200000000000003</x:v>
      </x:c>
      <x:c r="F26" s="28" t="n">
        <x:f>SUM(F13:F14)-F25</x:f>
        <x:v>23.4</x:v>
      </x:c>
      <x:c r="G26" s="28" t="n">
        <x:f>SUM(G13:G14)-G25</x:f>
        <x:v>29.25</x:v>
      </x:c>
      <x:c r="H26" s="28" t="n">
        <x:f>SUM(H13:H14)-H25</x:f>
        <x:v>35.75</x:v>
      </x:c>
      <x:c r="I26" s="28" t="n">
        <x:f>SUM(I13:I14)-I25</x:f>
        <x:v>42.25</x:v>
      </x:c>
      <x:c r="J26" s="28" t="n">
        <x:f>SUM(J13:J14)-J25</x:f>
        <x:v>48.75</x:v>
      </x:c>
      <x:c r="K26" s="28" t="n">
        <x:f>SUM(K13:K14)-K25</x:f>
        <x:v>58.5</x:v>
      </x:c>
      <x:c r="L26" s="28" t="n">
        <x:f>SUM(L13:L14)-L25</x:f>
        <x:v>68.25</x:v>
      </x:c>
      <x:c r="M26" s="28" t="n">
        <x:f>SUM(M13:M14)-M25</x:f>
        <x:v>78</x:v>
      </x:c>
      <x:c r="N26" s="28" t="n">
        <x:f>SUM(N13:N14)-N25</x:f>
        <x:v>87.75</x:v>
      </x:c>
      <x:c r="O26" s="28" t="n">
        <x:f>SUM(O13:O14)-O25</x:f>
        <x:v>97.5</x:v>
      </x:c>
      <x:c r="P26" s="1"/>
    </x:row>
    <x:row r="27" ht="23" customHeight="1">
      <x:c r="A27" s="1"/>
      <x:c r="B27" s="1"/>
      <x:c r="C27" s="19" t="str">
        <x:v>Total completed deliveries</x:v>
      </x:c>
      <x:c r="D27" s="31" t="n">
        <x:f>SUM(D24:D26)</x:f>
        <x:v>30</x:v>
      </x:c>
      <x:c r="E27" s="31" t="n">
        <x:f>SUM(E24:E26)</x:f>
        <x:v>51.28</x:v>
      </x:c>
      <x:c r="F27" s="31" t="n">
        <x:f>SUM(F24:F26)</x:f>
        <x:v>76.0376</x:v>
      </x:c>
      <x:c r="G27" s="31" t="n">
        <x:f>SUM(G24:G26)</x:f>
        <x:v>104.994592</x:v>
      </x:c>
      <x:c r="H27" s="31" t="n">
        <x:f>SUM(H24:H26)</x:f>
        <x:v>137.89502464</x:v>
      </x:c>
      <x:c r="I27" s="31" t="n">
        <x:f>SUM(I24:I26)</x:f>
        <x:v>173.5034226688</x:v>
      </x:c>
      <x:c r="J27" s="31" t="n">
        <x:f>SUM(J24:J26)</x:f>
        <x:v>211.603148855296</x:v>
      </x:c>
      <x:c r="K27" s="31" t="n">
        <x:f>SUM(K24:K26)</x:f>
        <x:v>256.9948969468723</x:v>
      </x:c>
      <x:c r="L27" s="31" t="n">
        <x:f>SUM(L24:L26)</x:f>
        <x:v>304.4953051911225</x:v>
      </x:c>
      <x:c r="M27" s="31" t="n">
        <x:f>SUM(M24:M26)</x:f>
        <x:v>353.9356807758327</x:v>
      </x:c>
      <x:c r="N27" s="31" t="n">
        <x:f>SUM(N24:N26)</x:f>
        <x:v>405.1608263137661</x:v>
      </x:c>
      <x:c r="O27" s="31" t="n">
        <x:f>SUM(O24:O26)</x:f>
        <x:v>458.0279602086648</x:v>
      </x:c>
      <x:c r="P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1"/>
      <x:c r="B29" s="1"/>
      <x:c r="C29" s="1" t="str">
        <x:v>Revenue excluding GST</x:v>
      </x:c>
      <x:c r="D29" s="25" t="n">
        <x:f>D24*'Order economics'!$D$23+D25*'Order economics'!$E$23+D26*'Order economics'!$F$23</x:f>
        <x:v>2671.836363636364</x:v>
      </x:c>
      <x:c r="E29" s="25" t="n">
        <x:f>E24*'Order economics'!$D$23+E25*'Order economics'!$E$23+E26*'Order economics'!$F$23</x:f>
        <x:v>4585.050909090909</x:v>
      </x:c>
      <x:c r="F29" s="25" t="n">
        <x:f>F24*'Order economics'!$D$23+F25*'Order economics'!$E$23+F26*'Order economics'!$F$23</x:f>
        <x:v>6814.727054545454</x:v>
      </x:c>
      <x:c r="G29" s="25" t="n">
        <x:f>G24*'Order economics'!$D$23+G25*'Order economics'!$E$23+G26*'Order economics'!$F$23</x:f>
        <x:v>9423.639690181819</x:v>
      </x:c>
      <x:c r="H29" s="25" t="n">
        <x:f>H24*'Order economics'!$D$23+H25*'Order economics'!$E$23+H26*'Order economics'!$F$23</x:f>
        <x:v>12388.49724224</x:v>
      </x:c>
      <x:c r="I29" s="25" t="n">
        <x:f>I24*'Order economics'!$D$23+I25*'Order economics'!$E$23+I26*'Order economics'!$F$23</x:f>
        <x:v>15599.779644678982</x:v>
      </x:c>
      <x:c r="J29" s="25" t="n">
        <x:f>J24*'Order economics'!$D$23+J25*'Order economics'!$E$23+J26*'Order economics'!$F$23</x:f>
        <x:v>19037.7729094683</x:v>
      </x:c>
      <x:c r="K29" s="25" t="n">
        <x:f>K24*'Order economics'!$D$23+K25*'Order economics'!$E$23+K26*'Order economics'!$F$23</x:f>
        <x:v>23124.799258529016</x:v>
      </x:c>
      <x:c r="L29" s="25" t="n">
        <x:f>L24*'Order economics'!$D$23+L25*'Order economics'!$E$23+L26*'Order economics'!$F$23</x:f>
        <x:v>27403.713681483056</x:v>
      </x:c>
      <x:c r="M29" s="25" t="n">
        <x:f>M24*'Order economics'!$D$23+M25*'Order economics'!$E$23+M26*'Order economics'!$F$23</x:f>
        <x:v>31859.16513241896</x:v>
      </x:c>
      <x:c r="N29" s="25" t="n">
        <x:f>N24*'Order economics'!$D$23+N25*'Order economics'!$E$23+N26*'Order economics'!$F$23</x:f>
        <x:v>36477.03064909817</x:v>
      </x:c>
      <x:c r="O29" s="25" t="n">
        <x:f>O24*'Order economics'!$D$23+O25*'Order economics'!$E$23+O26*'Order economics'!$F$23</x:f>
        <x:v>41244.317106261224</x:v>
      </x:c>
      <x:c r="P29" s="1"/>
    </x:row>
    <x:row r="30" ht="23" customHeight="1">
      <x:c r="A30" s="1"/>
      <x:c r="B30" s="1"/>
      <x:c r="C30" s="1" t="str">
        <x:v>Variable costs</x:v>
      </x:c>
      <x:c r="D30" s="25" t="n">
        <x:f>D24*'Order economics'!$D$28+D25*'Order economics'!$E$28+D26*'Order economics'!$F$28</x:f>
        <x:v>1921.4767272727277</x:v>
      </x:c>
      <x:c r="E30" s="25" t="n">
        <x:f>E24*'Order economics'!$D$28+E25*'Order economics'!$E$28+E26*'Order economics'!$F$28</x:f>
        <x:v>3262.7594181818185</x:v>
      </x:c>
      <x:c r="F30" s="25" t="n">
        <x:f>F24*'Order economics'!$D$28+F25*'Order economics'!$E$28+F26*'Order economics'!$F$28</x:f>
        <x:v>4818.6534990909095</x:v>
      </x:c>
      <x:c r="G30" s="25" t="n">
        <x:f>G24*'Order economics'!$D$28+G25*'Order economics'!$E$28+G26*'Order economics'!$F$28</x:f>
        <x:v>6637.207645163637</x:v>
      </x:c>
      <x:c r="H30" s="25" t="n">
        <x:f>H24*'Order economics'!$D$28+H25*'Order economics'!$E$28+H26*'Order economics'!$F$28</x:f>
        <x:v>8702.626458096</x:v>
      </x:c>
      <x:c r="I30" s="25" t="n">
        <x:f>I24*'Order economics'!$D$28+I25*'Order economics'!$E$28+I26*'Order economics'!$F$28</x:f>
        <x:v>10935.160585084684</x:v>
      </x:c>
      <x:c r="J30" s="25" t="n">
        <x:f>J24*'Order economics'!$D$28+J25*'Order economics'!$E$28+J26*'Order economics'!$F$28</x:f>
        <x:v>13321.440801005185</x:v>
      </x:c>
      <x:c r="K30" s="25" t="n">
        <x:f>K24*'Order economics'!$D$28+K25*'Order economics'!$E$28+K26*'Order economics'!$F$28</x:f>
        <x:v>16175.25535056113</x:v>
      </x:c>
      <x:c r="L30" s="25" t="n">
        <x:f>L24*'Order economics'!$D$28+L25*'Order economics'!$E$28+L26*'Order economics'!$F$28</x:f>
        <x:v>19159.20058978897</x:v>
      </x:c>
      <x:c r="M30" s="25" t="n">
        <x:f>M24*'Order economics'!$D$28+M25*'Order economics'!$E$28+M26*'Order economics'!$F$28</x:f>
        <x:v>22262.86606351494</x:v>
      </x:c>
      <x:c r="N30" s="25" t="n">
        <x:f>N24*'Order economics'!$D$28+N25*'Order economics'!$E$28+N26*'Order economics'!$F$28</x:f>
        <x:v>25476.674152979198</x:v>
      </x:c>
      <x:c r="O30" s="25" t="n">
        <x:f>O24*'Order economics'!$D$28+O25*'Order economics'!$E$28+O26*'Order economics'!$F$28</x:f>
        <x:v>28791.81344892268</x:v>
      </x:c>
      <x:c r="P30" s="1"/>
    </x:row>
    <x:row r="31" ht="23" customHeight="1">
      <x:c r="A31" s="1"/>
      <x:c r="B31" s="1"/>
      <x:c r="C31" s="19" t="str">
        <x:v>Contribution before acquisition</x:v>
      </x:c>
      <x:c r="D31" s="23" t="n">
        <x:f>D29-D30</x:f>
        <x:v>750.3596363636361</x:v>
      </x:c>
      <x:c r="E31" s="23" t="n">
        <x:f>E29-E30</x:f>
        <x:v>1322.2914909090905</x:v>
      </x:c>
      <x:c r="F31" s="23" t="n">
        <x:f>F29-F30</x:f>
        <x:v>1996.0735554545445</x:v>
      </x:c>
      <x:c r="G31" s="23" t="n">
        <x:f>G29-G30</x:f>
        <x:v>2786.432045018182</x:v>
      </x:c>
      <x:c r="H31" s="23" t="n">
        <x:f>H29-H30</x:f>
        <x:v>3685.870784144001</x:v>
      </x:c>
      <x:c r="I31" s="23" t="n">
        <x:f>I29-I30</x:f>
        <x:v>4664.619059594297</x:v>
      </x:c>
      <x:c r="J31" s="23" t="n">
        <x:f>J29-J30</x:f>
        <x:v>5716.332108463117</x:v>
      </x:c>
      <x:c r="K31" s="23" t="n">
        <x:f>K29-K30</x:f>
        <x:v>6949.543907967885</x:v>
      </x:c>
      <x:c r="L31" s="23" t="n">
        <x:f>L29-L30</x:f>
        <x:v>8244.513091694087</x:v>
      </x:c>
      <x:c r="M31" s="23" t="n">
        <x:f>M29-M30</x:f>
        <x:v>9596.29906890402</x:v>
      </x:c>
      <x:c r="N31" s="23" t="n">
        <x:f>N29-N30</x:f>
        <x:v>11000.35649611897</x:v>
      </x:c>
      <x:c r="O31" s="23" t="n">
        <x:f>O29-O30</x:f>
        <x:v>12452.503657338544</x:v>
      </x:c>
      <x:c r="P31" s="1"/>
    </x:row>
    <x:row r="32" ht="23" customHeight="1">
      <x:c r="A32" s="1"/>
      <x:c r="B32" s="1"/>
      <x:c r="C32" s="1" t="str">
        <x:v>Customer acquisition spend</x:v>
      </x:c>
      <x:c r="D32" s="24" t="n">
        <x:f>SUM(D12:D13)*D18</x:f>
        <x:v>1050</x:v>
      </x:c>
      <x:c r="E32" s="24" t="n">
        <x:f>SUM(E12:E13)*E18</x:f>
        <x:v>1400</x:v>
      </x:c>
      <x:c r="F32" s="24" t="n">
        <x:f>SUM(F12:F13)*F18</x:f>
        <x:v>1750</x:v>
      </x:c>
      <x:c r="G32" s="24" t="n">
        <x:f>SUM(G12:G13)*G18</x:f>
        <x:v>2100</x:v>
      </x:c>
      <x:c r="H32" s="24" t="n">
        <x:f>SUM(H12:H13)*H18</x:f>
        <x:v>2450</x:v>
      </x:c>
      <x:c r="I32" s="24" t="n">
        <x:f>SUM(I12:I13)*I18</x:f>
        <x:v>2800</x:v>
      </x:c>
      <x:c r="J32" s="24" t="n">
        <x:f>SUM(J12:J13)*J18</x:f>
        <x:v>3150</x:v>
      </x:c>
      <x:c r="K32" s="24" t="n">
        <x:f>SUM(K12:K13)*K18</x:f>
        <x:v>3675</x:v>
      </x:c>
      <x:c r="L32" s="24" t="n">
        <x:f>SUM(L12:L13)*L18</x:f>
        <x:v>4200</x:v>
      </x:c>
      <x:c r="M32" s="24" t="n">
        <x:f>SUM(M12:M13)*M18</x:f>
        <x:v>4725</x:v>
      </x:c>
      <x:c r="N32" s="24" t="n">
        <x:f>SUM(N12:N13)*N18</x:f>
        <x:v>5250</x:v>
      </x:c>
      <x:c r="O32" s="24" t="n">
        <x:f>SUM(O12:O13)*O18</x:f>
        <x:v>5775</x:v>
      </x:c>
      <x:c r="P32" s="1"/>
    </x:row>
    <x:row r="33" ht="23" customHeight="1">
      <x:c r="A33" s="1"/>
      <x:c r="B33" s="1"/>
      <x:c r="C33" s="1" t="str">
        <x:v>Operating result before owner pay</x:v>
      </x:c>
      <x:c r="D33" s="24" t="n">
        <x:f>D31-D32-D19</x:f>
        <x:v>-1549.6403636363639</x:v>
      </x:c>
      <x:c r="E33" s="24" t="n">
        <x:f>E31-E32-E19</x:f>
        <x:v>-1327.7085090909095</x:v>
      </x:c>
      <x:c r="F33" s="24" t="n">
        <x:f>F31-F32-F19</x:f>
        <x:v>-1003.9264445454555</x:v>
      </x:c>
      <x:c r="G33" s="24" t="n">
        <x:f>G31-G32-G19</x:f>
        <x:v>-563.5679549818178</x:v>
      </x:c>
      <x:c r="H33" s="24" t="n">
        <x:f>H31-H32-H19</x:f>
        <x:v>-14.129215855999064</x:v>
      </x:c>
      <x:c r="I33" s="24" t="n">
        <x:f>I31-I32-I19</x:f>
        <x:v>614.6190595942971</x:v>
      </x:c>
      <x:c r="J33" s="24" t="n">
        <x:f>J31-J32-J19</x:f>
        <x:v>1316.332108463117</x:v>
      </x:c>
      <x:c r="K33" s="24" t="n">
        <x:f>K31-K32-K19</x:f>
        <x:v>2024.5439079678854</x:v>
      </x:c>
      <x:c r="L33" s="24" t="n">
        <x:f>L31-L32-L19</x:f>
        <x:v>2794.513091694087</x:v>
      </x:c>
      <x:c r="M33" s="24" t="n">
        <x:f>M31-M32-M19</x:f>
        <x:v>3621.29906890402</x:v>
      </x:c>
      <x:c r="N33" s="24" t="n">
        <x:f>N31-N32-N19</x:f>
        <x:v>4500.3564961189695</x:v>
      </x:c>
      <x:c r="O33" s="24" t="n">
        <x:f>O31-O32-O19</x:f>
        <x:v>5427.503657338544</x:v>
      </x:c>
      <x:c r="P33" s="1"/>
    </x:row>
    <x:row r="34" ht="23" customHeight="1">
      <x:c r="A34" s="1"/>
      <x:c r="B34" s="1"/>
      <x:c r="C34" s="19" t="str">
        <x:v>Operating result after owner pay</x:v>
      </x:c>
      <x:c r="D34" s="23" t="n">
        <x:f>D33-D20</x:f>
        <x:v>-1549.6403636363639</x:v>
      </x:c>
      <x:c r="E34" s="23" t="n">
        <x:f>E33-E20</x:f>
        <x:v>-1327.7085090909095</x:v>
      </x:c>
      <x:c r="F34" s="23" t="n">
        <x:f>F33-F20</x:f>
        <x:v>-1003.9264445454555</x:v>
      </x:c>
      <x:c r="G34" s="23" t="n">
        <x:f>G33-G20</x:f>
        <x:v>-3063.567954981818</x:v>
      </x:c>
      <x:c r="H34" s="23" t="n">
        <x:f>H33-H20</x:f>
        <x:v>-2514.129215855999</x:v>
      </x:c>
      <x:c r="I34" s="23" t="n">
        <x:f>I33-I20</x:f>
        <x:v>-1885.3809404057029</x:v>
      </x:c>
      <x:c r="J34" s="23" t="n">
        <x:f>J33-J20</x:f>
        <x:v>-1183.667891536883</x:v>
      </x:c>
      <x:c r="K34" s="23" t="n">
        <x:f>K33-K20</x:f>
        <x:v>-475.4560920321146</x:v>
      </x:c>
      <x:c r="L34" s="23" t="n">
        <x:f>L33-L20</x:f>
        <x:v>294.51309169408705</x:v>
      </x:c>
      <x:c r="M34" s="23" t="n">
        <x:f>M33-M20</x:f>
        <x:v>1121.2990689040198</x:v>
      </x:c>
      <x:c r="N34" s="23" t="n">
        <x:f>N33-N20</x:f>
        <x:v>2000.3564961189695</x:v>
      </x:c>
      <x:c r="O34" s="23" t="n">
        <x:f>O33-O20</x:f>
        <x:v>2927.503657338544</x:v>
      </x:c>
      <x:c r="P34" s="1"/>
    </x:row>
    <x:row r="35" ht="23" customHeight="1">
      <x:c r="A35" s="1"/>
      <x:c r="B35" s="1"/>
      <x:c r="C35" s="1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4"/>
      <x:c r="O35" s="24"/>
      <x:c r="P35" s="1"/>
    </x:row>
    <x:row r="36" ht="23" customHeight="1">
      <x:c r="A36" s="1"/>
      <x:c r="B36" s="1"/>
      <x:c r="C36" s="1" t="str">
        <x:v>Opening operating headroom</x:v>
      </x:c>
      <x:c r="D36" s="25" t="n">
        <x:f>'Launch budget'!D18</x:f>
        <x:v>9000</x:v>
      </x:c>
      <x:c r="E36" s="24" t="n">
        <x:f>D37</x:f>
        <x:v>7450.359636363636</x:v>
      </x:c>
      <x:c r="F36" s="24" t="n">
        <x:f>E37</x:f>
        <x:v>6122.651127272727</x:v>
      </x:c>
      <x:c r="G36" s="24" t="n">
        <x:f>F37</x:f>
        <x:v>5118.724682727271</x:v>
      </x:c>
      <x:c r="H36" s="24" t="n">
        <x:f>G37</x:f>
        <x:v>2055.1567277454533</x:v>
      </x:c>
      <x:c r="I36" s="24" t="n">
        <x:f>H37</x:f>
        <x:v>-458.9724881105458</x:v>
      </x:c>
      <x:c r="J36" s="24" t="n">
        <x:f>I37</x:f>
        <x:v>-2344.3534285162486</x:v>
      </x:c>
      <x:c r="K36" s="24" t="n">
        <x:f>J37</x:f>
        <x:v>-3528.0213200531316</x:v>
      </x:c>
      <x:c r="L36" s="24" t="n">
        <x:f>K37</x:f>
        <x:v>-4003.477412085246</x:v>
      </x:c>
      <x:c r="M36" s="24" t="n">
        <x:f>L37</x:f>
        <x:v>-3708.964320391159</x:v>
      </x:c>
      <x:c r="N36" s="24" t="n">
        <x:f>M37</x:f>
        <x:v>-2587.6652514871394</x:v>
      </x:c>
      <x:c r="O36" s="24" t="n">
        <x:f>N37</x:f>
        <x:v>-587.3087553681698</x:v>
      </x:c>
      <x:c r="P36" s="1"/>
    </x:row>
    <x:row r="37" ht="23" customHeight="1">
      <x:c r="A37" s="1"/>
      <x:c r="B37" s="1"/>
      <x:c r="C37" s="19" t="str">
        <x:v>Closing operating headroom</x:v>
      </x:c>
      <x:c r="D37" s="23" t="n">
        <x:f>D36+D34</x:f>
        <x:v>7450.359636363636</x:v>
      </x:c>
      <x:c r="E37" s="23" t="n">
        <x:f>E36+E34</x:f>
        <x:v>6122.651127272727</x:v>
      </x:c>
      <x:c r="F37" s="23" t="n">
        <x:f>F36+F34</x:f>
        <x:v>5118.724682727271</x:v>
      </x:c>
      <x:c r="G37" s="23" t="n">
        <x:f>G36+G34</x:f>
        <x:v>2055.1567277454533</x:v>
      </x:c>
      <x:c r="H37" s="23" t="n">
        <x:f>H36+H34</x:f>
        <x:v>-458.9724881105458</x:v>
      </x:c>
      <x:c r="I37" s="23" t="n">
        <x:f>I36+I34</x:f>
        <x:v>-2344.3534285162486</x:v>
      </x:c>
      <x:c r="J37" s="23" t="n">
        <x:f>J36+J34</x:f>
        <x:v>-3528.0213200531316</x:v>
      </x:c>
      <x:c r="K37" s="23" t="n">
        <x:f>K36+K34</x:f>
        <x:v>-4003.477412085246</x:v>
      </x:c>
      <x:c r="L37" s="23" t="n">
        <x:f>L36+L34</x:f>
        <x:v>-3708.964320391159</x:v>
      </x:c>
      <x:c r="M37" s="23" t="n">
        <x:f>M36+M34</x:f>
        <x:v>-2587.6652514871394</x:v>
      </x:c>
      <x:c r="N37" s="23" t="n">
        <x:f>N36+N34</x:f>
        <x:v>-587.3087553681698</x:v>
      </x:c>
      <x:c r="O37" s="23" t="n">
        <x:f>O36+O34</x:f>
        <x:v>2340.1949019703743</x:v>
      </x:c>
      <x:c r="P37" s="1"/>
    </x:row>
    <x:row r="38" ht="23" customHeight="1">
      <x:c r="A38" s="1"/>
      <x:c r="B38" s="1"/>
      <x:c r="C38" s="1" t="str">
        <x:v>Cumulative operating result</x:v>
      </x:c>
      <x:c r="D38" s="24" t="n">
        <x:f>D34</x:f>
        <x:v>-1549.6403636363639</x:v>
      </x:c>
      <x:c r="E38" s="24" t="n">
        <x:f>D38+E34</x:f>
        <x:v>-2877.3488727272734</x:v>
      </x:c>
      <x:c r="F38" s="24" t="n">
        <x:f>E38+F34</x:f>
        <x:v>-3881.275317272729</x:v>
      </x:c>
      <x:c r="G38" s="24" t="n">
        <x:f>F38+G34</x:f>
        <x:v>-6944.843272254547</x:v>
      </x:c>
      <x:c r="H38" s="24" t="n">
        <x:f>G38+H34</x:f>
        <x:v>-9458.972488110547</x:v>
      </x:c>
      <x:c r="I38" s="24" t="n">
        <x:f>H38+I34</x:f>
        <x:v>-11344.35342851625</x:v>
      </x:c>
      <x:c r="J38" s="24" t="n">
        <x:f>I38+J34</x:f>
        <x:v>-12528.021320053133</x:v>
      </x:c>
      <x:c r="K38" s="24" t="n">
        <x:f>J38+K34</x:f>
        <x:v>-13003.477412085247</x:v>
      </x:c>
      <x:c r="L38" s="24" t="n">
        <x:f>K38+L34</x:f>
        <x:v>-12708.96432039116</x:v>
      </x:c>
      <x:c r="M38" s="24" t="n">
        <x:f>L38+M34</x:f>
        <x:v>-11587.66525148714</x:v>
      </x:c>
      <x:c r="N38" s="24" t="n">
        <x:f>M38+N34</x:f>
        <x:v>-9587.30875536817</x:v>
      </x:c>
      <x:c r="O38" s="24" t="n">
        <x:f>N38+O34</x:f>
        <x:v>-6659.805098029627</x:v>
      </x:c>
      <x:c r="P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3" customHeight="1">
      <x:c r="A41" s="1"/>
      <x:c r="B41" s="1"/>
      <x:c r="C41" s="1" t="str">
        <x:v>All monthly drivers are assumptions. New customers pay once in their joining month.</x:v>
      </x:c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3" customHeight="1">
      <x:c r="A42" s="1"/>
      <x:c r="B42" s="1"/>
      <x:c r="C42" s="1" t="str">
        <x:v>Opening subscribers churn before renewal; retained subscribers may skip without cancelling.</x:v>
      </x:c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3" customHeight="1">
      <x:c r="A43" s="1"/>
      <x:c r="B43" s="1"/>
      <x:c r="C43" s="1" t="str">
        <x:v>Fractional customers represent expected values. The plan uses calendar-month subscriptions.</x:v>
      </x:c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3" customHeight="1">
      <x:c r="A44" s="1"/>
      <x:c r="B44" s="1"/>
      <x:c r="C44" s="1" t="str">
        <x:v>Fixed overhead: $350 software, $400 facility/admin access, $500 insurance/accounting/support.</x:v>
      </x:c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3" customHeight="1">
      <x:c r="A45" s="1"/>
      <x:c r="B45" s="1"/>
      <x:c r="C45" s="1" t="str">
        <x:v>CAC includes paid media, affiliate costs, allocated content and promotions; do not add them twice.</x:v>
      </x:c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23" customHeight="1">
      <x:c r="A46" s="1"/>
      <x:c r="B46" s="1"/>
      <x:c r="C46" s="1" t="str">
        <x:v>Returning one-time customers are separate orders. No one-time-to-subscription conversion is assumed.</x:v>
      </x:c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23" customHeight="1">
      <x:c r="A47" s="1"/>
      <x:c r="B47" s="1"/>
      <x:c r="C47" s="1" t="str">
        <x:v>Owner labour is a cost allowance from Month 4, not a full salary or a tax calculation.</x:v>
      </x:c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23" customHeight="1">
      <x:c r="A48" s="1"/>
      <x:c r="B48" s="1"/>
      <x:c r="C48" s="1" t="str">
        <x:v>Headroom excludes the protected $5,000 reserve. See Launch budget for timing limitations.</x:v>
      </x:c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</x:row>
  </x:sheetData>
  <x:conditionalFormatting sqref="D37:O37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81714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9" hidden="0" customWidth="1"/>
    <x:col min="5" max="5" width="19" hidden="0" customWidth="1"/>
    <x:col min="6" max="6" width="19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1"/>
      <x:c r="B2" s="1"/>
      <x:c r="C2" s="2" t="str">
        <x:v>Order economics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1"/>
    </x:row>
    <x:row r="3" ht="23" customHeight="1">
      <x:c r="A3" s="1"/>
      <x:c r="B3" s="1"/>
      <x:c r="C3" s="1" t="str">
        <x:v>AUD. Prices include GST where applicable. All unquoted costs are planning assumptions.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9" customHeight="1">
      <x:c r="A5" s="1"/>
      <x:c r="B5" s="1"/>
      <x:c r="C5" s="4" t="str">
        <x:v>Per completed order</x:v>
      </x:c>
      <x:c r="D5" s="4" t="str">
        <x:v>Subscription</x:v>
      </x:c>
      <x:c r="E5" s="4" t="str">
        <x:v>Gift box</x:v>
      </x:c>
      <x:c r="F5" s="4" t="str">
        <x:v>Individual basket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23" customHeight="1">
      <x:c r="A6" s="1"/>
      <x:c r="B6" s="1"/>
      <x:c r="C6" s="1" t="str">
        <x:v>Product selling price</x:v>
      </x:c>
      <x:c r="D6" s="7" t="n">
        <x:v>79</x:v>
      </x:c>
      <x:c r="E6" s="7" t="n">
        <x:v>99</x:v>
      </x:c>
      <x:c r="F6" s="7" t="n">
        <x:v>65</x:v>
      </x:c>
      <x:c r="G6" s="1"/>
      <x:c r="H6" s="1" t="str">
        <x:v>Blue / yellow cells are editable assumptions.</x:v>
      </x:c>
      <x:c r="I6" s="1"/>
      <x:c r="J6" s="1"/>
      <x:c r="K6" s="1"/>
      <x:c r="L6" s="1"/>
      <x:c r="M6" s="1"/>
      <x:c r="N6" s="1"/>
      <x:c r="O6" s="1"/>
      <x:c r="P6" s="1"/>
    </x:row>
    <x:row r="7" ht="23" customHeight="1">
      <x:c r="A7" s="1"/>
      <x:c r="B7" s="1"/>
      <x:c r="C7" s="1" t="str">
        <x:v>Delivery charged</x:v>
      </x:c>
      <x:c r="D7" s="7" t="n">
        <x:v>12</x:v>
      </x:c>
      <x:c r="E7" s="7" t="n">
        <x:v>12</x:v>
      </x:c>
      <x:c r="F7" s="7" t="n">
        <x:v>12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 ht="23" customHeight="1">
      <x:c r="A8" s="1"/>
      <x:c r="B8" s="1"/>
      <x:c r="C8" s="1" t="str">
        <x:v>Taxable product share</x:v>
      </x:c>
      <x:c r="D8" s="8" t="n">
        <x:v>0</x:v>
      </x:c>
      <x:c r="E8" s="8" t="n">
        <x:v>0.1</x:v>
      </x:c>
      <x:c r="F8" s="8" t="n">
        <x:v>0.1</x:v>
      </x:c>
      <x:c r="G8" s="1"/>
      <x:c r="H8" s="1" t="str">
        <x:v>Tax shares are placeholders; classify every SKU and delivery charge.</x:v>
      </x:c>
      <x:c r="I8" s="1"/>
      <x:c r="J8" s="1"/>
      <x:c r="K8" s="1"/>
      <x:c r="L8" s="1"/>
      <x:c r="M8" s="1"/>
      <x:c r="N8" s="1"/>
      <x:c r="O8" s="1"/>
      <x:c r="P8" s="1"/>
    </x:row>
    <x:row r="9" ht="23" customHeight="1">
      <x:c r="A9" s="1"/>
      <x:c r="B9" s="1"/>
      <x:c r="C9" s="1" t="str">
        <x:v>Taxable delivery share</x:v>
      </x:c>
      <x:c r="D9" s="8" t="n">
        <x:v>0</x:v>
      </x:c>
      <x:c r="E9" s="8" t="n">
        <x:v>0.1</x:v>
      </x:c>
      <x:c r="F9" s="8" t="n">
        <x:v>0.1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23" customHeight="1">
      <x:c r="A10" s="1"/>
      <x:c r="B10" s="1"/>
      <x:c r="C10" s="1" t="str">
        <x:v>GST rate</x:v>
      </x:c>
      <x:c r="D10" s="8" t="n">
        <x:v>0.1</x:v>
      </x:c>
      <x:c r="E10" s="8" t="n">
        <x:v>0.1</x:v>
      </x:c>
      <x:c r="F10" s="8" t="n">
        <x:v>0.1</x:v>
      </x:c>
      <x:c r="G10" s="1"/>
      <x:c r="H10" s="1" t="str">
        <x:v>Costs exclude recoverable GST. Do not blanket-divide all food revenue by 1.1.</x:v>
      </x:c>
      <x:c r="I10" s="1"/>
      <x:c r="J10" s="1"/>
      <x:c r="K10" s="1"/>
      <x:c r="L10" s="1"/>
      <x:c r="M10" s="1"/>
      <x:c r="N10" s="1"/>
      <x:c r="O10" s="1"/>
      <x:c r="P10" s="1"/>
    </x:row>
    <x:row r="11" ht="23" customHeight="1">
      <x:c r="A11" s="1"/>
      <x:c r="B11" s="1"/>
      <x:c r="C11" s="1" t="str">
        <x:v>Product cost, net</x:v>
      </x:c>
      <x:c r="D11" s="7" t="n">
        <x:v>31</x:v>
      </x:c>
      <x:c r="E11" s="7" t="n">
        <x:v>42</x:v>
      </x:c>
      <x:c r="F11" s="7" t="n">
        <x:v>29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23" customHeight="1">
      <x:c r="A12" s="1"/>
      <x:c r="B12" s="1"/>
      <x:c r="C12" s="1" t="str">
        <x:v>Packaging, net</x:v>
      </x:c>
      <x:c r="D12" s="7" t="n">
        <x:v>6</x:v>
      </x:c>
      <x:c r="E12" s="7" t="n">
        <x:v>8</x:v>
      </x:c>
      <x:c r="F12" s="7" t="n">
        <x:v>6</x:v>
      </x:c>
      <x:c r="G12" s="1"/>
      <x:c r="H12" s="1" t="str">
        <x:v>Supplier wholesale and carrier costs have not been quoted.</x:v>
      </x:c>
      <x:c r="I12" s="1"/>
      <x:c r="J12" s="1"/>
      <x:c r="K12" s="1"/>
      <x:c r="L12" s="1"/>
      <x:c r="M12" s="1"/>
      <x:c r="N12" s="1"/>
      <x:c r="O12" s="1"/>
      <x:c r="P12" s="1"/>
    </x:row>
    <x:row r="13" ht="23" customHeight="1">
      <x:c r="A13" s="1"/>
      <x:c r="B13" s="1"/>
      <x:c r="C13" s="1" t="str">
        <x:v>Pick and pack, net</x:v>
      </x:c>
      <x:c r="D13" s="7" t="n">
        <x:v>4</x:v>
      </x:c>
      <x:c r="E13" s="7" t="n">
        <x:v>5</x:v>
      </x:c>
      <x:c r="F13" s="7" t="n">
        <x:v>4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23" customHeight="1">
      <x:c r="A14" s="1"/>
      <x:c r="B14" s="1"/>
      <x:c r="C14" s="1" t="str">
        <x:v>Cold delivery, net</x:v>
      </x:c>
      <x:c r="D14" s="7" t="n">
        <x:v>17</x:v>
      </x:c>
      <x:c r="E14" s="7" t="n">
        <x:v>17</x:v>
      </x:c>
      <x:c r="F14" s="7" t="n">
        <x:v>17</x:v>
      </x:c>
      <x:c r="G14" s="1"/>
      <x:c r="H14" s="1" t="str">
        <x:v>Payment baseline: Shopify Basic standard domestic card, checked 15 Sep 2026.</x:v>
      </x:c>
      <x:c r="I14" s="1"/>
      <x:c r="J14" s="1"/>
      <x:c r="K14" s="1"/>
      <x:c r="L14" s="1"/>
      <x:c r="M14" s="1"/>
      <x:c r="N14" s="1"/>
      <x:c r="O14" s="1"/>
      <x:c r="P14" s="1"/>
    </x:row>
    <x:row r="15" ht="23" customHeight="1">
      <x:c r="A15" s="1"/>
      <x:c r="B15" s="1"/>
      <x:c r="C15" s="1" t="str">
        <x:v>Loss / service allowance</x:v>
      </x:c>
      <x:c r="D15" s="8" t="n">
        <x:v>0.02</x:v>
      </x:c>
      <x:c r="E15" s="8" t="n">
        <x:v>0.02</x:v>
      </x:c>
      <x:c r="F15" s="8" t="n">
        <x:v>0.02</x:v>
      </x:c>
      <x:c r="G15" s="1"/>
      <x:c r="H15" s="1" t="str">
        <x:v>https://www.shopify.com/au/pricing</x:v>
      </x:c>
      <x:c r="I15" s="1"/>
      <x:c r="J15" s="1"/>
      <x:c r="K15" s="1"/>
      <x:c r="L15" s="1"/>
      <x:c r="M15" s="1"/>
      <x:c r="N15" s="1"/>
      <x:c r="O15" s="1"/>
      <x:c r="P15" s="1"/>
    </x:row>
    <x:row r="16" ht="23" customHeight="1">
      <x:c r="A16" s="1"/>
      <x:c r="B16" s="1"/>
      <x:c r="C16" s="1" t="str">
        <x:v>Payment fee rate</x:v>
      </x:c>
      <x:c r="D16" s="9" t="n">
        <x:v>0.0175</x:v>
      </x:c>
      <x:c r="E16" s="9" t="n">
        <x:v>0.0175</x:v>
      </x:c>
      <x:c r="F16" s="9" t="n">
        <x:v>0.0175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3" customHeight="1">
      <x:c r="A17" s="1"/>
      <x:c r="B17" s="1"/>
      <x:c r="C17" s="1" t="str">
        <x:v>Payment fixed fee</x:v>
      </x:c>
      <x:c r="D17" s="7" t="n">
        <x:v>0.3</x:v>
      </x:c>
      <x:c r="E17" s="7" t="n">
        <x:v>0.3</x:v>
      </x:c>
      <x:c r="F17" s="7" t="n">
        <x:v>0.3</x:v>
      </x:c>
      <x:c r="G17" s="1"/>
      <x:c r="H17" s="1" t="str">
        <x:v>Free Shopify Subscriptions assumed; app charges remain editable.</x:v>
      </x:c>
      <x:c r="I17" s="1"/>
      <x:c r="J17" s="1"/>
      <x:c r="K17" s="1"/>
      <x:c r="L17" s="1"/>
      <x:c r="M17" s="1"/>
      <x:c r="N17" s="1"/>
      <x:c r="O17" s="1"/>
      <x:c r="P17" s="1"/>
    </x:row>
    <x:row r="18" ht="23" customHeight="1">
      <x:c r="A18" s="1"/>
      <x:c r="B18" s="1"/>
      <x:c r="C18" s="1" t="str">
        <x:v>Subscription app variable fee</x:v>
      </x:c>
      <x:c r="D18" s="8" t="n">
        <x:v>0</x:v>
      </x:c>
      <x:c r="E18" s="8" t="n">
        <x:v>0</x:v>
      </x:c>
      <x:c r="F18" s="8" t="n">
        <x:v>0</x:v>
      </x:c>
      <x:c r="G18" s="1"/>
      <x:c r="H18" s="1" t="str">
        <x:v>https://help.shopify.com/en/manual/products/purchase-options/subscriptions/shopify-subscriptions</x:v>
      </x:c>
      <x:c r="I18" s="1"/>
      <x:c r="J18" s="1"/>
      <x:c r="K18" s="1"/>
      <x:c r="L18" s="1"/>
      <x:c r="M18" s="1"/>
      <x:c r="N18" s="1"/>
      <x:c r="O18" s="1"/>
      <x:c r="P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 t="str">
        <x:v>GST food classification:</x:v>
      </x:c>
      <x:c r="I20" s="1"/>
      <x:c r="J20" s="1"/>
      <x:c r="K20" s="1"/>
      <x:c r="L20" s="1"/>
      <x:c r="M20" s="1"/>
      <x:c r="N20" s="1"/>
      <x:c r="O20" s="1"/>
      <x:c r="P20" s="1"/>
    </x:row>
    <x:row r="21" ht="23" customHeight="1">
      <x:c r="A21" s="1"/>
      <x:c r="B21" s="1"/>
      <x:c r="C21" s="1" t="str">
        <x:v>Customer payment</x:v>
      </x:c>
      <x:c r="D21" s="10" t="n">
        <x:f>SUM(D6:D7)</x:f>
        <x:v>91</x:v>
      </x:c>
      <x:c r="E21" s="10" t="n">
        <x:f>SUM(E6:E7)</x:f>
        <x:v>111</x:v>
      </x:c>
      <x:c r="F21" s="10" t="n">
        <x:f>SUM(F6:F7)</x:f>
        <x:v>77</x:v>
      </x:c>
      <x:c r="G21" s="1"/>
      <x:c r="H21" s="1" t="str">
        <x:v>https://www.ato.gov.au/law/view/document?PiT=99991231235958&amp;locid=%27GII%2FGSTIIFL1%2FNAT%2FATO%27</x:v>
      </x:c>
      <x:c r="I21" s="1"/>
      <x:c r="J21" s="1"/>
      <x:c r="K21" s="1"/>
      <x:c r="L21" s="1"/>
      <x:c r="M21" s="1"/>
      <x:c r="N21" s="1"/>
      <x:c r="O21" s="1"/>
      <x:c r="P21" s="1"/>
    </x:row>
    <x:row r="22" ht="23" customHeight="1">
      <x:c r="A22" s="1"/>
      <x:c r="B22" s="1"/>
      <x:c r="C22" s="1" t="str">
        <x:v>Output GST estimate</x:v>
      </x:c>
      <x:c r="D22" s="10" t="n">
        <x:f>(D6*D8+D7*D9)*D10/(1+D10)</x:f>
        <x:v>0</x:v>
      </x:c>
      <x:c r="E22" s="10" t="n">
        <x:f>(E6*E8+E7*E9)*E10/(1+E10)</x:f>
        <x:v>1.009090909090909</x:v>
      </x:c>
      <x:c r="F22" s="10" t="n">
        <x:f>(F6*F8+F7*F9)*F10/(1+F10)</x:f>
        <x:v>0.7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/>
      <x:c r="B23" s="1"/>
      <x:c r="C23" s="1" t="str">
        <x:v>Revenue excluding GST</x:v>
      </x:c>
      <x:c r="D23" s="10" t="n">
        <x:f>D21-D22</x:f>
        <x:v>91</x:v>
      </x:c>
      <x:c r="E23" s="10" t="n">
        <x:f>E21-E22</x:f>
        <x:v>109.99090909090908</x:v>
      </x:c>
      <x:c r="F23" s="10" t="n">
        <x:f>F21-F22</x:f>
        <x:v>76.3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3" customHeight="1">
      <x:c r="A24" s="1"/>
      <x:c r="B24" s="1"/>
      <x:c r="C24" s="1" t="str">
        <x:v>Product and fulfilment cost</x:v>
      </x:c>
      <x:c r="D24" s="10" t="n">
        <x:f>SUM(D11:D14)</x:f>
        <x:v>58</x:v>
      </x:c>
      <x:c r="E24" s="10" t="n">
        <x:f>SUM(E11:E14)</x:f>
        <x:v>72</x:v>
      </x:c>
      <x:c r="F24" s="10" t="n">
        <x:f>SUM(F11:F14)</x:f>
        <x:v>56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1"/>
      <x:c r="B25" s="1"/>
      <x:c r="C25" s="1" t="str">
        <x:v>Loss / service allowance</x:v>
      </x:c>
      <x:c r="D25" s="10" t="n">
        <x:f>D23*D15</x:f>
        <x:v>1.82</x:v>
      </x:c>
      <x:c r="E25" s="10" t="n">
        <x:f>E23*E15</x:f>
        <x:v>2.199818181818182</x:v>
      </x:c>
      <x:c r="F25" s="10" t="n">
        <x:f>F23*F15</x:f>
        <x:v>1.526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1"/>
      <x:c r="B26" s="1"/>
      <x:c r="C26" s="1" t="str">
        <x:v>Payment fees</x:v>
      </x:c>
      <x:c r="D26" s="10" t="n">
        <x:f>D21*D16+D17</x:f>
        <x:v>1.8925000000000003</x:v>
      </x:c>
      <x:c r="E26" s="10" t="n">
        <x:f>E21*E16+E17</x:f>
        <x:v>2.2425</x:v>
      </x:c>
      <x:c r="F26" s="10" t="n">
        <x:f>F21*F16+F17</x:f>
        <x:v>1.6475000000000002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1"/>
      <x:c r="B27" s="1"/>
      <x:c r="C27" s="1" t="str">
        <x:v>Subscription app variable fee</x:v>
      </x:c>
      <x:c r="D27" s="10" t="n">
        <x:f>D21*D18</x:f>
        <x:v>0</x:v>
      </x:c>
      <x:c r="E27" s="10" t="n">
        <x:f>E21*E18</x:f>
        <x:v>0</x:v>
      </x:c>
      <x:c r="F27" s="10" t="n">
        <x:f>F21*F18</x:f>
        <x:v>0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1"/>
      <x:c r="B28" s="1"/>
      <x:c r="C28" s="1" t="str">
        <x:v>Total variable cost</x:v>
      </x:c>
      <x:c r="D28" s="10" t="n">
        <x:f>SUM(D24:D27)</x:f>
        <x:v>61.7125</x:v>
      </x:c>
      <x:c r="E28" s="10" t="n">
        <x:f>SUM(E24:E27)</x:f>
        <x:v>76.4423181818182</x:v>
      </x:c>
      <x:c r="F28" s="10" t="n">
        <x:f>SUM(F24:F27)</x:f>
        <x:v>59.173500000000004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1"/>
      <x:c r="B29" s="1"/>
      <x:c r="C29" s="19" t="str">
        <x:v>Contribution before acquisition</x:v>
      </x:c>
      <x:c r="D29" s="20" t="n">
        <x:f>D23-D28</x:f>
        <x:v>29.2875</x:v>
      </x:c>
      <x:c r="E29" s="20" t="n">
        <x:f>E23-E28</x:f>
        <x:v>33.54859090909089</x:v>
      </x:c>
      <x:c r="F29" s="20" t="n">
        <x:f>F23-F28</x:f>
        <x:v>17.126499999999993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1"/>
      <x:c r="B30" s="1"/>
      <x:c r="C30" s="16" t="str">
        <x:v>Contribution margin</x:v>
      </x:c>
      <x:c r="D30" s="18" t="n">
        <x:f>D29/D23</x:f>
        <x:v>0.32184065934065936</x:v>
      </x:c>
      <x:c r="E30" s="18" t="n">
        <x:f>E29/E23</x:f>
        <x:v>0.3050123977188196</x:v>
      </x:c>
      <x:c r="F30" s="18" t="n">
        <x:f>F29/F23</x:f>
        <x:v>0.22446264744429872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3" customHeight="1">
      <x:c r="A33" s="1"/>
      <x:c r="B33" s="1"/>
      <x:c r="C33" s="1" t="str">
        <x:v>Subscriber acquisition cost</x:v>
      </x:c>
      <x:c r="D33" s="7" t="n">
        <x:v>35</x:v>
      </x:c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3" customHeight="1">
      <x:c r="A34" s="1"/>
      <x:c r="B34" s="1"/>
      <x:c r="C34" s="1" t="str">
        <x:v>Paid deliveries to recover CAC</x:v>
      </x:c>
      <x:c r="D34" s="12" t="n">
        <x:f>IF(D29&gt;0,D33/D29,"n.a.")</x:f>
        <x:v>1.195049082373026</x:v>
      </x:c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3" customHeight="1">
      <x:c r="A35" s="1"/>
      <x:c r="B35" s="1"/>
      <x:c r="C35" s="1" t="str">
        <x:v>Target contribution margin</x:v>
      </x:c>
      <x:c r="D35" s="8" t="n">
        <x:v>0.3</x:v>
      </x:c>
      <x:c r="E35" s="8" t="n">
        <x:v>0.3</x:v>
      </x:c>
      <x:c r="F35" s="8" t="n">
        <x:v>0.3</x:v>
      </x:c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1"/>
      <x:c r="B36" s="1"/>
      <x:c r="C36" s="1" t="str">
        <x:v>Maximum product cost at target</x:v>
      </x:c>
      <x:c r="D36" s="10" t="n">
        <x:f>D23*(1-D35)-SUM(D12:D14)-SUM(D25:D27)</x:f>
        <x:v>32.9875</x:v>
      </x:c>
      <x:c r="E36" s="10" t="n">
        <x:f>E23*(1-E35)-SUM(E12:E14)-SUM(E25:E27)</x:f>
        <x:v>42.551318181818175</x:v>
      </x:c>
      <x:c r="F36" s="10" t="n">
        <x:f>F23*(1-F35)-SUM(F12:F14)-SUM(F25:F27)</x:f>
        <x:v>23.236499999999996</x:v>
      </x:c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</x:row>
    <x:row r="40" ht="23" customHeight="1">
      <x:c r="A40" s="1"/>
      <x:c r="B40" s="1"/>
      <x:c r="C40" s="1" t="str">
        <x:v>Sensitivity inputs to try</x:v>
      </x:c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</x:row>
    <x:row r="41" ht="23" customHeight="1">
      <x:c r="A41" s="1"/>
      <x:c r="B41" s="1"/>
      <x:c r="C41" s="1" t="str">
        <x:v>Delivery cost +$5; product cost +20%; CAC $55; then restore.</x:v>
      </x:c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</x:row>
    <x:row r="42" ht="23" customHeight="1">
      <x:c r="A42" s="1"/>
      <x:c r="B42" s="1"/>
      <x:c r="C42" s="1" t="str">
        <x:v>Contribution excludes fixed overhead and owner pay. The forecast includes both.</x:v>
      </x:c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</x:row>
    <x:row r="43" ht="23" customHeight="1">
      <x:c r="A43" s="1"/>
      <x:c r="B43" s="1"/>
      <x:c r="C43" s="1" t="str">
        <x:v>Individual basket is an average order, not the price of a single pack.</x:v>
      </x:c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81714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38" hidden="0" customWidth="1"/>
    <x:col min="4" max="4" width="18" hidden="0" customWidth="1"/>
    <x:col min="5" max="5" width="6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3" customHeight="1">
      <x:c r="A2" s="1"/>
      <x:c r="B2" s="1"/>
      <x:c r="C2" s="2" t="str">
        <x:v>Launch budget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1"/>
    </x:row>
    <x:row r="3" ht="23" customHeight="1">
      <x:c r="A3" s="1"/>
      <x:c r="B3" s="1"/>
      <x:c r="C3" s="1" t="str">
        <x:v>AUD cash allowances, before the first trading month. Quotes are required.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9" customHeight="1">
      <x:c r="A5" s="1"/>
      <x:c r="B5" s="1"/>
      <x:c r="C5" s="4" t="str">
        <x:v>Prelaunch expense</x:v>
      </x:c>
      <x:c r="D5" s="4" t="str">
        <x:v>Cash allowance</x:v>
      </x:c>
      <x:c r="E5" s="4" t="str">
        <x:v>Basis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23" customHeight="1">
      <x:c r="A6" s="1"/>
      <x:c r="B6" s="1"/>
      <x:c r="C6" s="1" t="str">
        <x:v>Brand refinement and photography</x:v>
      </x:c>
      <x:c r="D6" s="21" t="n">
        <x:v>1800</x:v>
      </x:c>
      <x:c r="E6" s="1" t="str">
        <x:v>Original mascot vector artwork, labels and real product photography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23" customHeight="1">
      <x:c r="A7" s="1"/>
      <x:c r="B7" s="1"/>
      <x:c r="C7" s="1" t="str">
        <x:v>Legal, accounting and insurance setup</x:v>
      </x:c>
      <x:c r="D7" s="21" t="n">
        <x:v>1800</x:v>
      </x:c>
      <x:c r="E7" s="1" t="str">
        <x:v>Includes initial advice; recurring premiums sit in monthly overhead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</x:row>
    <x:row r="8" ht="23" customHeight="1">
      <x:c r="A8" s="1"/>
      <x:c r="B8" s="1"/>
      <x:c r="C8" s="1" t="str">
        <x:v>Food safety and cold-chain trials</x:v>
      </x:c>
      <x:c r="D8" s="21" t="n">
        <x:v>2200</x:v>
      </x:c>
      <x:c r="E8" s="1" t="str">
        <x:v>Packaging trials, thermometers / logger rental, handling advice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</x:row>
    <x:row r="9" ht="23" customHeight="1">
      <x:c r="A9" s="1"/>
      <x:c r="B9" s="1"/>
      <x:c r="C9" s="1" t="str">
        <x:v>Packaging artwork and samples</x:v>
      </x:c>
      <x:c r="D9" s="21" t="n">
        <x:v>700</x:v>
      </x:c>
      <x:c r="E9" s="1" t="str">
        <x:v>Sampling and setup only; saleable packaging is working capital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</x:row>
    <x:row r="10" ht="23" customHeight="1">
      <x:c r="A10" s="1"/>
      <x:c r="B10" s="1"/>
      <x:c r="C10" s="1" t="str">
        <x:v>Launch content and tastings</x:v>
      </x:c>
      <x:c r="D10" s="21" t="n">
        <x:v>1000</x:v>
      </x:c>
      <x:c r="E10" s="1" t="str">
        <x:v>Prelaunch research and sampling, separate from forecast CAC</x:v>
      </x:c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</x:row>
    <x:row r="11" ht="23" customHeight="1">
      <x:c r="A11" s="1"/>
      <x:c r="B11" s="1"/>
      <x:c r="C11" s="1" t="str">
        <x:v>Commerce setup and QA allowance</x:v>
      </x:c>
      <x:c r="D11" s="21" t="n">
        <x:v>3500</x:v>
      </x:c>
      <x:c r="E11" s="1" t="str">
        <x:v>External help allowance; founder development time excluded</x:v>
      </x:c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</x:row>
    <x:row r="13" ht="23" customHeight="1">
      <x:c r="A13" s="1"/>
      <x:c r="B13" s="1"/>
      <x:c r="C13" s="19" t="str">
        <x:v>Total prelaunch expense</x:v>
      </x:c>
      <x:c r="D13" s="23" t="n">
        <x:f>SUM(D6:D11)</x:f>
        <x:v>11000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</x:row>
    <x:row r="14" ht="23" customHeight="1">
      <x:c r="A14" s="1"/>
      <x:c r="B14" s="1"/>
      <x:c r="C14" s="1"/>
      <x:c r="D14" s="24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</x:row>
    <x:row r="15" ht="23" customHeight="1">
      <x:c r="A15" s="1"/>
      <x:c r="B15" s="1"/>
      <x:c r="C15" s="1"/>
      <x:c r="D15" s="24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23" customHeight="1">
      <x:c r="A16" s="1"/>
      <x:c r="B16" s="1"/>
      <x:c r="C16" s="1" t="str">
        <x:v>Initial funding</x:v>
      </x:c>
      <x:c r="D16" s="21" t="n">
        <x:v>25000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3" customHeight="1">
      <x:c r="A17" s="1"/>
      <x:c r="B17" s="1"/>
      <x:c r="C17" s="1" t="str">
        <x:v>Protected working-capital reserve</x:v>
      </x:c>
      <x:c r="D17" s="21" t="n">
        <x:v>5000</x:v>
      </x:c>
      <x:c r="E17" s="1" t="str">
        <x:v>Inventory, saleable packaging, payout lag, GST timing and refunds.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</x:row>
    <x:row r="18" ht="23" customHeight="1">
      <x:c r="A18" s="1"/>
      <x:c r="B18" s="1"/>
      <x:c r="C18" s="19" t="str">
        <x:v>Operating headroom at launch</x:v>
      </x:c>
      <x:c r="D18" s="23" t="n">
        <x:f>D16-D13-D17</x:f>
        <x:v>9000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</x:row>
    <x:row r="19" ht="23" customHeight="1">
      <x:c r="A19" s="1"/>
      <x:c r="B19" s="1"/>
      <x:c r="C19" s="1"/>
      <x:c r="D19" s="24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</x:row>
    <x:row r="20" ht="23" customHeight="1">
      <x:c r="A20" s="1"/>
      <x:c r="B20" s="1"/>
      <x:c r="C20" s="1"/>
      <x:c r="D20" s="24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</x:row>
    <x:row r="21" ht="23" customHeight="1">
      <x:c r="A21" s="1"/>
      <x:c r="B21" s="1"/>
      <x:c r="C21" s="1" t="str">
        <x:v>Minimum forecast headroom</x:v>
      </x:c>
      <x:c r="D21" s="25" t="n">
        <x:f>MIN('Forecast'!D37:O37)</x:f>
        <x:v>-4003.477412085246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</x:row>
    <x:row r="22" ht="23" customHeight="1">
      <x:c r="A22" s="1"/>
      <x:c r="B22" s="1"/>
      <x:c r="C22" s="1" t="str">
        <x:v>Additional funding indicated</x:v>
      </x:c>
      <x:c r="D22" s="24" t="n">
        <x:f>MAX(0,-D21)</x:f>
        <x:v>4003.477412085246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</x:row>
    <x:row r="23" ht="23" customHeight="1">
      <x:c r="A23" s="1"/>
      <x:c r="B23" s="1"/>
      <x:c r="C23" s="1" t="str">
        <x:v>Funding including projected deficit</x:v>
      </x:c>
      <x:c r="D23" s="24" t="n">
        <x:f>D16+D22</x:f>
        <x:v>29003.477412085245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</x:row>
    <x:row r="26" ht="23" customHeight="1">
      <x:c r="A26" s="1"/>
      <x:c r="B26" s="1"/>
      <x:c r="C26" s="1" t="str">
        <x:v>Headroom is a simplified cash proxy, not a bank balance forecast.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</x:row>
    <x:row r="27" ht="23" customHeight="1">
      <x:c r="A27" s="1"/>
      <x:c r="B27" s="1"/>
      <x:c r="C27" s="1" t="str">
        <x:v>It assumes receipts and variable costs settle in the delivery month.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</x:row>
    <x:row r="28" ht="23" customHeight="1">
      <x:c r="A28" s="1"/>
      <x:c r="B28" s="1"/>
      <x:c r="C28" s="1" t="str">
        <x:v>GST timing, inventory growth, debt, income tax and capital expenditure are not scheduled.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</x:row>
    <x:row r="29" ht="23" customHeight="1">
      <x:c r="A29" s="1"/>
      <x:c r="B29" s="1"/>
      <x:c r="C29" s="1" t="str">
        <x:v>Reserve is ring-fenced, not treated as an expense. Validate with weekly cash planning.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</x:row>
    <x:row r="30" ht="23" customHeight="1">
      <x:c r="A30" s="1"/>
      <x:c r="B30" s="1"/>
      <x:c r="C30" s="1" t="str">
        <x:v>Launch funding and all expense amounts are assumptions, not approved expenditure.</x:v>
      </x:c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</x:sheetData>
  <x:pageMargins left="0.7" right="0.7" top="0.75" bottom="0.75" header="0.3" footer="0.3"/>
</x:worksheet>
</file>